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abiobariletti/Documents/Robot_Project/so101-data-efficiency/Report/"/>
    </mc:Choice>
  </mc:AlternateContent>
  <xr:revisionPtr revIDLastSave="0" documentId="13_ncr:1_{F494DF44-86C0-8F44-AD61-4EB7FFA02BEC}" xr6:coauthVersionLast="47" xr6:coauthVersionMax="47" xr10:uidLastSave="{00000000-0000-0000-0000-000000000000}"/>
  <bookViews>
    <workbookView xWindow="0" yWindow="0" windowWidth="28800" windowHeight="18000" xr2:uid="{55B08DD5-718D-374D-8FF2-045E0E96DB2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17" i="1" l="1"/>
  <c r="H17" i="1"/>
  <c r="F17" i="1"/>
  <c r="F3" i="1" a="1"/>
  <c r="F3" i="1" s="1"/>
  <c r="G3" i="1" a="1"/>
  <c r="G3" i="1"/>
  <c r="H3" i="1" a="1"/>
  <c r="H3" i="1" s="1"/>
  <c r="F4" i="1" a="1"/>
  <c r="F4" i="1"/>
  <c r="G4" i="1" a="1"/>
  <c r="G4" i="1" s="1"/>
  <c r="H4" i="1" a="1"/>
  <c r="H4" i="1" s="1"/>
  <c r="F5" i="1" a="1"/>
  <c r="F5" i="1" s="1"/>
  <c r="G5" i="1" a="1"/>
  <c r="G5" i="1" s="1"/>
  <c r="H5" i="1" a="1"/>
  <c r="H5" i="1" s="1"/>
  <c r="F6" i="1" a="1"/>
  <c r="F6" i="1"/>
  <c r="G6" i="1" a="1"/>
  <c r="G6" i="1" s="1"/>
  <c r="H6" i="1" a="1"/>
  <c r="H6" i="1"/>
  <c r="F7" i="1" a="1"/>
  <c r="F7" i="1" s="1"/>
  <c r="G7" i="1" a="1"/>
  <c r="G7" i="1"/>
  <c r="H7" i="1" a="1"/>
  <c r="H7" i="1" s="1"/>
  <c r="F8" i="1" a="1"/>
  <c r="F8" i="1"/>
  <c r="G8" i="1" a="1"/>
  <c r="G8" i="1" s="1"/>
  <c r="H8" i="1" a="1"/>
  <c r="H8" i="1"/>
  <c r="F9" i="1" a="1"/>
  <c r="F9" i="1" s="1"/>
  <c r="G9" i="1" a="1"/>
  <c r="G9" i="1"/>
  <c r="H9" i="1" a="1"/>
  <c r="H9" i="1" s="1"/>
  <c r="F10" i="1" a="1"/>
  <c r="F10" i="1"/>
  <c r="G10" i="1" a="1"/>
  <c r="G10" i="1" s="1"/>
  <c r="H10" i="1" a="1"/>
  <c r="H10" i="1"/>
  <c r="F11" i="1" a="1"/>
  <c r="F11" i="1" s="1"/>
  <c r="G11" i="1" a="1"/>
  <c r="G11" i="1"/>
  <c r="H11" i="1" a="1"/>
  <c r="H11" i="1" s="1"/>
  <c r="F12" i="1" a="1"/>
  <c r="F12" i="1"/>
  <c r="G12" i="1" a="1"/>
  <c r="G12" i="1" s="1"/>
  <c r="H12" i="1" a="1"/>
  <c r="H12" i="1"/>
  <c r="F13" i="1" a="1"/>
  <c r="F13" i="1" s="1"/>
  <c r="G13" i="1" a="1"/>
  <c r="G13" i="1"/>
  <c r="H13" i="1" a="1"/>
  <c r="H13" i="1" s="1"/>
  <c r="F14" i="1" a="1"/>
  <c r="F14" i="1"/>
  <c r="G14" i="1" a="1"/>
  <c r="G14" i="1" s="1"/>
  <c r="H14" i="1" a="1"/>
  <c r="H14" i="1"/>
  <c r="F15" i="1" a="1"/>
  <c r="F15" i="1" s="1"/>
  <c r="G15" i="1" a="1"/>
  <c r="G15" i="1"/>
  <c r="H15" i="1" a="1"/>
  <c r="H15" i="1" s="1"/>
  <c r="F16" i="1" a="1"/>
  <c r="F16" i="1"/>
  <c r="G16" i="1" a="1"/>
  <c r="G16" i="1" s="1"/>
  <c r="H16" i="1" a="1"/>
  <c r="H16" i="1"/>
  <c r="G2" i="1" a="1"/>
  <c r="G2" i="1" s="1"/>
  <c r="H2" i="1" a="1"/>
  <c r="H2" i="1" s="1"/>
  <c r="F2" i="1" a="1"/>
  <c r="F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<sst xmlns="http://schemas.openxmlformats.org/spreadsheetml/2006/main" count="67" uniqueCount="19">
  <si>
    <t>Position to test</t>
  </si>
  <si>
    <t>v2_024</t>
  </si>
  <si>
    <t>v2_100</t>
  </si>
  <si>
    <t>v3_050</t>
  </si>
  <si>
    <t>c</t>
  </si>
  <si>
    <t>a</t>
  </si>
  <si>
    <t>d</t>
  </si>
  <si>
    <t>b</t>
  </si>
  <si>
    <t>legend</t>
  </si>
  <si>
    <t>success</t>
  </si>
  <si>
    <t>cube is picked up but did not enter the bowl</t>
  </si>
  <si>
    <t>right movement, but gripper closes at (around) less than 1 cm from the cube</t>
  </si>
  <si>
    <t>anyhing else (complete failure)</t>
  </si>
  <si>
    <t>Notes (qualitative)</t>
  </si>
  <si>
    <t>Model v3 is generally better in second tries (faster reaction and more accurate)</t>
  </si>
  <si>
    <t>Not deterministic (come prevedibile) if success in one position, it doesn't mean that with the same pos will succeed again</t>
  </si>
  <si>
    <t>non segue la ciotola se spostata, associa il movimento ad una coordianta, probabilmente perché in tutte le demo finiamo lì, piuttosto che ad un oggetto/colore</t>
  </si>
  <si>
    <t>points rule: "a"; 3; "b"; 2; "c"; 1; "d"; 0; ""</t>
  </si>
  <si>
    <t>&lt;- tot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</si>
</sst>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0" fontId="1" fillId="0" borderId="0" xfId="0" applyFont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BDAC2-1E2A-5C47-ABC2-26E0118DD266}">
  <dimension ref="A1:J30"/>
  <sheetViews>
    <sheetView tabSelected="1" workbookViewId="0">
      <selection activeCell="L9" sqref="L9"/>
    </sheetView>
  </sheetViews>
  <sheetFormatPr baseColWidth="10" defaultRowHeight="16" x14ac:dyDescent="0.2"/>
  <cols>
    <col min="1" max="1" width="13.1640625" bestFit="1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F1" s="1" t="s">
        <v>1</v>
      </c>
      <c r="G1" s="1" t="s">
        <v>2</v>
      </c>
      <c r="H1" s="1" t="s">
        <v>3</v>
      </c>
    </row>
    <row r="2" spans="1:10" x14ac:dyDescent="0.2">
      <c r="A2" s="1">
        <v>1</v>
      </c>
      <c r="B2" s="1" t="s">
        <v>4</v>
      </c>
      <c r="C2" s="1" t="s">
        <v>4</v>
      </c>
      <c r="D2" s="1" t="s">
        <v>5</v>
      </c>
      <c r="F2" s="3" cm="1">
        <f t="array" ref="F2">_xlfn.SWITCH(B2, "a", 3, "b", 2, "c", 1, "d", 0, "")</f>
        <v>1</v>
      </c>
      <c r="G2" s="3" cm="1">
        <f t="array" ref="G2">_xlfn.SWITCH(C2, "a", 3, "b", 2, "c", 1, "d", 0, "")</f>
        <v>1</v>
      </c>
      <c r="H2" s="3" cm="1">
        <f t="array" ref="H2">_xlfn.SWITCH(D2, "a", 3, "b", 2, "c", 1, "d", 0, "")</f>
        <v>3</v>
      </c>
      <c r="J2" t="s">
        <v>17</v>
      </c>
    </row>
    <row r="3" spans="1:10" x14ac:dyDescent="0.2">
      <c r="A3" s="1">
        <v>2</v>
      </c>
      <c r="B3" s="1" t="s">
        <v>4</v>
      </c>
      <c r="C3" s="1" t="s">
        <v>4</v>
      </c>
      <c r="D3" s="1" t="s">
        <v>4</v>
      </c>
      <c r="F3" s="3" cm="1">
        <f t="array" ref="F3">_xlfn.SWITCH(B3, "a", 3, "b", 2, "c", 1, "d", 0, "")</f>
        <v>1</v>
      </c>
      <c r="G3" s="3" cm="1">
        <f t="array" ref="G3">_xlfn.SWITCH(C3, "a", 3, "b", 2, "c", 1, "d", 0, "")</f>
        <v>1</v>
      </c>
      <c r="H3" s="3" cm="1">
        <f t="array" ref="H3">_xlfn.SWITCH(D3, "a", 3, "b", 2, "c", 1, "d", 0, "")</f>
        <v>1</v>
      </c>
    </row>
    <row r="4" spans="1:10" x14ac:dyDescent="0.2">
      <c r="A4" s="1">
        <v>3</v>
      </c>
      <c r="B4" s="1" t="s">
        <v>5</v>
      </c>
      <c r="C4" s="1" t="s">
        <v>7</v>
      </c>
      <c r="D4" s="1" t="s">
        <v>4</v>
      </c>
      <c r="F4" s="3" cm="1">
        <f t="array" ref="F4">_xlfn.SWITCH(B4, "a", 3, "b", 2, "c", 1, "d", 0, "")</f>
        <v>3</v>
      </c>
      <c r="G4" s="3" cm="1">
        <f t="array" ref="G4">_xlfn.SWITCH(C4, "a", 3, "b", 2, "c", 1, "d", 0, "")</f>
        <v>2</v>
      </c>
      <c r="H4" s="3" cm="1">
        <f t="array" ref="H4">_xlfn.SWITCH(D4, "a", 3, "b", 2, "c", 1, "d", 0, "")</f>
        <v>1</v>
      </c>
    </row>
    <row r="5" spans="1:10" x14ac:dyDescent="0.2">
      <c r="A5" s="1">
        <v>4</v>
      </c>
      <c r="B5" s="1" t="s">
        <v>4</v>
      </c>
      <c r="C5" s="1" t="s">
        <v>4</v>
      </c>
      <c r="D5" s="1" t="s">
        <v>4</v>
      </c>
      <c r="F5" s="3" cm="1">
        <f t="array" ref="F5">_xlfn.SWITCH(B5, "a", 3, "b", 2, "c", 1, "d", 0, "")</f>
        <v>1</v>
      </c>
      <c r="G5" s="3" cm="1">
        <f t="array" ref="G5">_xlfn.SWITCH(C5, "a", 3, "b", 2, "c", 1, "d", 0, "")</f>
        <v>1</v>
      </c>
      <c r="H5" s="3" cm="1">
        <f t="array" ref="H5">_xlfn.SWITCH(D5, "a", 3, "b", 2, "c", 1, "d", 0, "")</f>
        <v>1</v>
      </c>
    </row>
    <row r="6" spans="1:10" x14ac:dyDescent="0.2">
      <c r="A6" s="1">
        <v>5</v>
      </c>
      <c r="B6" s="1" t="s">
        <v>4</v>
      </c>
      <c r="C6" s="1" t="s">
        <v>5</v>
      </c>
      <c r="D6" s="1" t="s">
        <v>4</v>
      </c>
      <c r="F6" s="3" cm="1">
        <f t="array" ref="F6">_xlfn.SWITCH(B6, "a", 3, "b", 2, "c", 1, "d", 0, "")</f>
        <v>1</v>
      </c>
      <c r="G6" s="3" cm="1">
        <f t="array" ref="G6">_xlfn.SWITCH(C6, "a", 3, "b", 2, "c", 1, "d", 0, "")</f>
        <v>3</v>
      </c>
      <c r="H6" s="3" cm="1">
        <f t="array" ref="H6">_xlfn.SWITCH(D6, "a", 3, "b", 2, "c", 1, "d", 0, "")</f>
        <v>1</v>
      </c>
    </row>
    <row r="7" spans="1:10" x14ac:dyDescent="0.2">
      <c r="A7" s="1">
        <v>6</v>
      </c>
      <c r="B7" s="1" t="s">
        <v>4</v>
      </c>
      <c r="C7" s="1" t="s">
        <v>5</v>
      </c>
      <c r="D7" s="1" t="s">
        <v>5</v>
      </c>
      <c r="F7" s="3" cm="1">
        <f t="array" ref="F7">_xlfn.SWITCH(B7, "a", 3, "b", 2, "c", 1, "d", 0, "")</f>
        <v>1</v>
      </c>
      <c r="G7" s="3" cm="1">
        <f t="array" ref="G7">_xlfn.SWITCH(C7, "a", 3, "b", 2, "c", 1, "d", 0, "")</f>
        <v>3</v>
      </c>
      <c r="H7" s="3" cm="1">
        <f t="array" ref="H7">_xlfn.SWITCH(D7, "a", 3, "b", 2, "c", 1, "d", 0, "")</f>
        <v>3</v>
      </c>
    </row>
    <row r="8" spans="1:10" x14ac:dyDescent="0.2">
      <c r="A8" s="1">
        <v>7</v>
      </c>
      <c r="B8" s="1" t="s">
        <v>6</v>
      </c>
      <c r="C8" s="1" t="s">
        <v>6</v>
      </c>
      <c r="D8" s="1" t="s">
        <v>4</v>
      </c>
      <c r="F8" s="3" cm="1">
        <f t="array" ref="F8">_xlfn.SWITCH(B8, "a", 3, "b", 2, "c", 1, "d", 0, "")</f>
        <v>0</v>
      </c>
      <c r="G8" s="3" cm="1">
        <f t="array" ref="G8">_xlfn.SWITCH(C8, "a", 3, "b", 2, "c", 1, "d", 0, "")</f>
        <v>0</v>
      </c>
      <c r="H8" s="3" cm="1">
        <f t="array" ref="H8">_xlfn.SWITCH(D8, "a", 3, "b", 2, "c", 1, "d", 0, "")</f>
        <v>1</v>
      </c>
    </row>
    <row r="9" spans="1:10" x14ac:dyDescent="0.2">
      <c r="A9" s="1">
        <v>8</v>
      </c>
      <c r="B9" s="1" t="s">
        <v>4</v>
      </c>
      <c r="C9" s="1" t="s">
        <v>4</v>
      </c>
      <c r="D9" s="1" t="s">
        <v>4</v>
      </c>
      <c r="F9" s="3" cm="1">
        <f t="array" ref="F9">_xlfn.SWITCH(B9, "a", 3, "b", 2, "c", 1, "d", 0, "")</f>
        <v>1</v>
      </c>
      <c r="G9" s="3" cm="1">
        <f t="array" ref="G9">_xlfn.SWITCH(C9, "a", 3, "b", 2, "c", 1, "d", 0, "")</f>
        <v>1</v>
      </c>
      <c r="H9" s="3" cm="1">
        <f t="array" ref="H9">_xlfn.SWITCH(D9, "a", 3, "b", 2, "c", 1, "d", 0, "")</f>
        <v>1</v>
      </c>
    </row>
    <row r="10" spans="1:10" x14ac:dyDescent="0.2">
      <c r="A10" s="1">
        <v>9</v>
      </c>
      <c r="B10" s="1" t="s">
        <v>4</v>
      </c>
      <c r="C10" s="1" t="s">
        <v>6</v>
      </c>
      <c r="D10" s="1" t="s">
        <v>6</v>
      </c>
      <c r="F10" s="3" cm="1">
        <f t="array" ref="F10">_xlfn.SWITCH(B10, "a", 3, "b", 2, "c", 1, "d", 0, "")</f>
        <v>1</v>
      </c>
      <c r="G10" s="3" cm="1">
        <f t="array" ref="G10">_xlfn.SWITCH(C10, "a", 3, "b", 2, "c", 1, "d", 0, "")</f>
        <v>0</v>
      </c>
      <c r="H10" s="3" cm="1">
        <f t="array" ref="H10">_xlfn.SWITCH(D10, "a", 3, "b", 2, "c", 1, "d", 0, "")</f>
        <v>0</v>
      </c>
    </row>
    <row r="11" spans="1:10" x14ac:dyDescent="0.2">
      <c r="A11" s="1">
        <v>10</v>
      </c>
      <c r="B11" s="1" t="s">
        <v>4</v>
      </c>
      <c r="C11" s="1" t="s">
        <v>4</v>
      </c>
      <c r="D11" s="1" t="s">
        <v>4</v>
      </c>
      <c r="F11" s="3" cm="1">
        <f t="array" ref="F11">_xlfn.SWITCH(B11, "a", 3, "b", 2, "c", 1, "d", 0, "")</f>
        <v>1</v>
      </c>
      <c r="G11" s="3" cm="1">
        <f t="array" ref="G11">_xlfn.SWITCH(C11, "a", 3, "b", 2, "c", 1, "d", 0, "")</f>
        <v>1</v>
      </c>
      <c r="H11" s="3" cm="1">
        <f t="array" ref="H11">_xlfn.SWITCH(D11, "a", 3, "b", 2, "c", 1, "d", 0, "")</f>
        <v>1</v>
      </c>
    </row>
    <row r="12" spans="1:10" x14ac:dyDescent="0.2">
      <c r="A12" s="1">
        <v>11</v>
      </c>
      <c r="B12" s="1" t="s">
        <v>4</v>
      </c>
      <c r="C12" s="1" t="s">
        <v>6</v>
      </c>
      <c r="D12" s="1" t="s">
        <v>4</v>
      </c>
      <c r="F12" s="3" cm="1">
        <f t="array" ref="F12">_xlfn.SWITCH(B12, "a", 3, "b", 2, "c", 1, "d", 0, "")</f>
        <v>1</v>
      </c>
      <c r="G12" s="3" cm="1">
        <f t="array" ref="G12">_xlfn.SWITCH(C12, "a", 3, "b", 2, "c", 1, "d", 0, "")</f>
        <v>0</v>
      </c>
      <c r="H12" s="3" cm="1">
        <f t="array" ref="H12">_xlfn.SWITCH(D12, "a", 3, "b", 2, "c", 1, "d", 0, "")</f>
        <v>1</v>
      </c>
    </row>
    <row r="13" spans="1:10" x14ac:dyDescent="0.2">
      <c r="A13" s="1">
        <v>12</v>
      </c>
      <c r="B13" s="1" t="s">
        <v>6</v>
      </c>
      <c r="C13" s="1" t="s">
        <v>4</v>
      </c>
      <c r="D13" s="1" t="s">
        <v>4</v>
      </c>
      <c r="F13" s="3" cm="1">
        <f t="array" ref="F13">_xlfn.SWITCH(B13, "a", 3, "b", 2, "c", 1, "d", 0, "")</f>
        <v>0</v>
      </c>
      <c r="G13" s="3" cm="1">
        <f t="array" ref="G13">_xlfn.SWITCH(C13, "a", 3, "b", 2, "c", 1, "d", 0, "")</f>
        <v>1</v>
      </c>
      <c r="H13" s="3" cm="1">
        <f t="array" ref="H13">_xlfn.SWITCH(D13, "a", 3, "b", 2, "c", 1, "d", 0, "")</f>
        <v>1</v>
      </c>
    </row>
    <row r="14" spans="1:10" x14ac:dyDescent="0.2">
      <c r="A14" s="1">
        <v>13</v>
      </c>
      <c r="B14" s="1" t="s">
        <v>4</v>
      </c>
      <c r="C14" s="1" t="s">
        <v>4</v>
      </c>
      <c r="D14" s="1" t="s">
        <v>4</v>
      </c>
      <c r="F14" s="3" cm="1">
        <f t="array" ref="F14">_xlfn.SWITCH(B14, "a", 3, "b", 2, "c", 1, "d", 0, "")</f>
        <v>1</v>
      </c>
      <c r="G14" s="3" cm="1">
        <f t="array" ref="G14">_xlfn.SWITCH(C14, "a", 3, "b", 2, "c", 1, "d", 0, "")</f>
        <v>1</v>
      </c>
      <c r="H14" s="3" cm="1">
        <f t="array" ref="H14">_xlfn.SWITCH(D14, "a", 3, "b", 2, "c", 1, "d", 0, "")</f>
        <v>1</v>
      </c>
    </row>
    <row r="15" spans="1:10" x14ac:dyDescent="0.2">
      <c r="A15" s="1">
        <v>14</v>
      </c>
      <c r="B15" s="1" t="s">
        <v>6</v>
      </c>
      <c r="C15" s="1" t="s">
        <v>6</v>
      </c>
      <c r="D15" s="1" t="s">
        <v>4</v>
      </c>
      <c r="F15" s="3" cm="1">
        <f t="array" ref="F15">_xlfn.SWITCH(B15, "a", 3, "b", 2, "c", 1, "d", 0, "")</f>
        <v>0</v>
      </c>
      <c r="G15" s="3" cm="1">
        <f t="array" ref="G15">_xlfn.SWITCH(C15, "a", 3, "b", 2, "c", 1, "d", 0, "")</f>
        <v>0</v>
      </c>
      <c r="H15" s="3" cm="1">
        <f t="array" ref="H15">_xlfn.SWITCH(D15, "a", 3, "b", 2, "c", 1, "d", 0, "")</f>
        <v>1</v>
      </c>
    </row>
    <row r="16" spans="1:10" x14ac:dyDescent="0.2">
      <c r="A16" s="1">
        <v>15</v>
      </c>
      <c r="B16" s="1" t="s">
        <v>6</v>
      </c>
      <c r="C16" s="1" t="s">
        <v>4</v>
      </c>
      <c r="D16" s="1" t="s">
        <v>4</v>
      </c>
      <c r="F16" s="3" cm="1">
        <f t="array" ref="F16">_xlfn.SWITCH(B16, "a", 3, "b", 2, "c", 1, "d", 0, "")</f>
        <v>0</v>
      </c>
      <c r="G16" s="3" cm="1">
        <f t="array" ref="G16">_xlfn.SWITCH(C16, "a", 3, "b", 2, "c", 1, "d", 0, "")</f>
        <v>1</v>
      </c>
      <c r="H16" s="3" cm="1">
        <f t="array" ref="H16">_xlfn.SWITCH(D16, "a", 3, "b", 2, "c", 1, "d", 0, "")</f>
        <v>1</v>
      </c>
    </row>
    <row r="17" spans="1:9" x14ac:dyDescent="0.2">
      <c r="F17">
        <f>SUM(F2:F16)</f>
        <v>13</v>
      </c>
      <c r="G17">
        <f t="shared" ref="G17:H17" si="0">SUM(G2:G16)</f>
        <v>16</v>
      </c>
      <c r="H17">
        <f t="shared" si="0"/>
        <v>18</v>
      </c>
      <c r="I17" t="s">
        <v>18</v>
      </c>
    </row>
    <row r="19" spans="1:9" x14ac:dyDescent="0.2">
      <c r="A19" s="2" t="s">
        <v>8</v>
      </c>
    </row>
    <row r="20" spans="1:9" x14ac:dyDescent="0.2">
      <c r="A20" t="s">
        <v>5</v>
      </c>
      <c r="B20" t="s">
        <v>9</v>
      </c>
    </row>
    <row r="21" spans="1:9" x14ac:dyDescent="0.2">
      <c r="A21" t="s">
        <v>7</v>
      </c>
      <c r="B21" t="s">
        <v>10</v>
      </c>
    </row>
    <row r="22" spans="1:9" x14ac:dyDescent="0.2">
      <c r="A22" t="s">
        <v>4</v>
      </c>
      <c r="B22" t="s">
        <v>11</v>
      </c>
    </row>
    <row r="23" spans="1:9" x14ac:dyDescent="0.2">
      <c r="A23" t="s">
        <v>6</v>
      </c>
      <c r="B23" t="s">
        <v>12</v>
      </c>
    </row>
    <row r="27" spans="1:9" x14ac:dyDescent="0.2">
      <c r="A27" s="2" t="s">
        <v>13</v>
      </c>
    </row>
    <row r="28" spans="1:9" x14ac:dyDescent="0.2">
      <c r="A28" t="s">
        <v>14</v>
      </c>
    </row>
    <row r="29" spans="1:9" x14ac:dyDescent="0.2">
      <c r="A29" t="s">
        <v>15</v>
      </c>
    </row>
    <row r="30" spans="1:9" x14ac:dyDescent="0.2">
      <c r="A30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Bariletti</dc:creator>
  <cp:lastModifiedBy>Fabio Bariletti</cp:lastModifiedBy>
  <dcterms:created xsi:type="dcterms:W3CDTF">2026-10-27T08:34:40Z</dcterms:created>
  <dcterms:modified xsi:type="dcterms:W3CDTF">2026-10-27T10:32:58Z</dcterms:modified>
</cp:coreProperties>
</file>